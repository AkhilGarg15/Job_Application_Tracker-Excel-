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6\Projects\Job_application_tracker_excel\"/>
    </mc:Choice>
  </mc:AlternateContent>
  <xr:revisionPtr revIDLastSave="0" documentId="8_{D16D5BDA-AEF5-41C8-9237-1D2495FF0124}" xr6:coauthVersionLast="47" xr6:coauthVersionMax="47" xr10:uidLastSave="{00000000-0000-0000-0000-000000000000}"/>
  <bookViews>
    <workbookView xWindow="-110" yWindow="-110" windowWidth="19420" windowHeight="10300" xr2:uid="{4D21E60F-9EB3-4BE7-B1C0-861EC59B28B2}"/>
  </bookViews>
  <sheets>
    <sheet name="JOB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Q11" i="1" a="1"/>
  <c r="Q11" i="1" s="1"/>
  <c r="R4" i="1"/>
  <c r="R5" i="1"/>
  <c r="R6" i="1"/>
  <c r="R7" i="1"/>
  <c r="R3" i="1"/>
  <c r="R8" i="1" l="1"/>
  <c r="R9" i="1"/>
  <c r="R12" i="1"/>
  <c r="R15" i="1"/>
  <c r="R14" i="1"/>
  <c r="R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<sst xmlns="http://schemas.openxmlformats.org/spreadsheetml/2006/main" count="236" uniqueCount="167">
  <si>
    <t>#</t>
  </si>
  <si>
    <t xml:space="preserve">Company </t>
  </si>
  <si>
    <t xml:space="preserve">Position </t>
  </si>
  <si>
    <t>Location</t>
  </si>
  <si>
    <t>Job Type</t>
  </si>
  <si>
    <t>Date Applied</t>
  </si>
  <si>
    <t>Status</t>
  </si>
  <si>
    <t>Follow-up Date</t>
  </si>
  <si>
    <t>Contact Person</t>
  </si>
  <si>
    <t>Salary Range</t>
  </si>
  <si>
    <t>Link</t>
  </si>
  <si>
    <t xml:space="preserve">Notes </t>
  </si>
  <si>
    <t>In-Person</t>
  </si>
  <si>
    <t>Applied</t>
  </si>
  <si>
    <t>NA</t>
  </si>
  <si>
    <t>careers.google.com/jobs/123</t>
  </si>
  <si>
    <t>2nd round scheduled for next week</t>
  </si>
  <si>
    <t>Microsoft</t>
  </si>
  <si>
    <t>Product Manager</t>
  </si>
  <si>
    <t>Redmond, WA</t>
  </si>
  <si>
    <t>Assessment</t>
  </si>
  <si>
    <t>James Rodriguez</t>
  </si>
  <si>
    <t>careers.microsoft.com/456</t>
  </si>
  <si>
    <t>Take-home assignment due Friday</t>
  </si>
  <si>
    <t>Stripe</t>
  </si>
  <si>
    <t>Data Analyst</t>
  </si>
  <si>
    <t>Remote</t>
  </si>
  <si>
    <t>Interview</t>
  </si>
  <si>
    <t>$140K - $170K</t>
  </si>
  <si>
    <t>stripe.com/jobs/789</t>
  </si>
  <si>
    <t>Panel interview with 4 team members</t>
  </si>
  <si>
    <t>Amazon</t>
  </si>
  <si>
    <t>Solutions Architect</t>
  </si>
  <si>
    <t>Seattle, WA</t>
  </si>
  <si>
    <t>Offer</t>
  </si>
  <si>
    <t>Michael Torres</t>
  </si>
  <si>
    <t>$175K - $210K</t>
  </si>
  <si>
    <t>amazon.jobs/en/jobs/abc</t>
  </si>
  <si>
    <t>Offer letter received, reviewing terms</t>
  </si>
  <si>
    <t>Shopify</t>
  </si>
  <si>
    <t>Frontend Developer</t>
  </si>
  <si>
    <t>Lisa Wang</t>
  </si>
  <si>
    <t>$130K - $155K</t>
  </si>
  <si>
    <t>shopify.com/careers/dev</t>
  </si>
  <si>
    <t>30-min call with recruiter</t>
  </si>
  <si>
    <t>Meta</t>
  </si>
  <si>
    <t>ML Engineer</t>
  </si>
  <si>
    <t>Menlo Park, CA</t>
  </si>
  <si>
    <t>David Kim</t>
  </si>
  <si>
    <t>$190K - $230K</t>
  </si>
  <si>
    <t>metacareers.com/jobs/xyz</t>
  </si>
  <si>
    <t>Didn't pass system design round</t>
  </si>
  <si>
    <t>Figma</t>
  </si>
  <si>
    <t>UX Designer</t>
  </si>
  <si>
    <t>San Francisco, CA</t>
  </si>
  <si>
    <t>$120K - $150K</t>
  </si>
  <si>
    <t>figma.com/careers</t>
  </si>
  <si>
    <t>Applied via company careers page</t>
  </si>
  <si>
    <t>Notion</t>
  </si>
  <si>
    <t>Backend Engineer</t>
  </si>
  <si>
    <t>New York, NY</t>
  </si>
  <si>
    <t>$150K - $180K</t>
  </si>
  <si>
    <t>notion.so/careers</t>
  </si>
  <si>
    <t>Referred by college friend</t>
  </si>
  <si>
    <t>Accenture</t>
  </si>
  <si>
    <t>Tech Consultant</t>
  </si>
  <si>
    <t>Chicago, IL</t>
  </si>
  <si>
    <t>Travel</t>
  </si>
  <si>
    <t>Rachel Adams</t>
  </si>
  <si>
    <t>accenture.com/careers</t>
  </si>
  <si>
    <t>6-month Hybrid, possible extension</t>
  </si>
  <si>
    <t>HubSpot</t>
  </si>
  <si>
    <t>Marketing Analyst Intern</t>
  </si>
  <si>
    <t>Boston, MA</t>
  </si>
  <si>
    <t>Tom Bradley</t>
  </si>
  <si>
    <t>hubspot.com/careers</t>
  </si>
  <si>
    <t>Withdrew after receiving Amazon offer</t>
  </si>
  <si>
    <t>Apple</t>
  </si>
  <si>
    <t>iOS Engineer</t>
  </si>
  <si>
    <t>Cupertino, CA</t>
  </si>
  <si>
    <t>Amy Liu</t>
  </si>
  <si>
    <t>$185K - $225K</t>
  </si>
  <si>
    <t>jobs.apple.com/en-us/details/200</t>
  </si>
  <si>
    <t>Made it to final round but lost out</t>
  </si>
  <si>
    <t>Salesforce</t>
  </si>
  <si>
    <t>Platform Engineer</t>
  </si>
  <si>
    <t>Derek Nguyen</t>
  </si>
  <si>
    <t>$165K - $200K</t>
  </si>
  <si>
    <t>salesforce.com/careers/789</t>
  </si>
  <si>
    <t>Hiring manager interview scheduled</t>
  </si>
  <si>
    <t>Netflix</t>
  </si>
  <si>
    <t>Data Engineer</t>
  </si>
  <si>
    <t>Los Gatos, CA</t>
  </si>
  <si>
    <t>$200K - $280K</t>
  </si>
  <si>
    <t>jobs.netflix.com/jobs/abc</t>
  </si>
  <si>
    <t>Top-of-market comp, worth following up</t>
  </si>
  <si>
    <t>Airbnb</t>
  </si>
  <si>
    <t>Full Stack Developer</t>
  </si>
  <si>
    <t>Carlos Mendez</t>
  </si>
  <si>
    <t>$155K - $185K</t>
  </si>
  <si>
    <t>careers.airbnb.com/positions/456</t>
  </si>
  <si>
    <t>Recruiter reached out after referral</t>
  </si>
  <si>
    <t>Coinbase</t>
  </si>
  <si>
    <t>Blockchain Engineer</t>
  </si>
  <si>
    <t>Nina Patel</t>
  </si>
  <si>
    <t>$170K - $210K</t>
  </si>
  <si>
    <t>coinbase.com/careers/eng</t>
  </si>
  <si>
    <t>Decided against crypto focus</t>
  </si>
  <si>
    <t>Databricks</t>
  </si>
  <si>
    <t>Solutions Engineer</t>
  </si>
  <si>
    <t>Hybrid</t>
  </si>
  <si>
    <t>Kevin Park</t>
  </si>
  <si>
    <t>$175K - $215K</t>
  </si>
  <si>
    <t>databricks.com/company/careers</t>
  </si>
  <si>
    <t>SQL + Python coding challenge</t>
  </si>
  <si>
    <t>Uber</t>
  </si>
  <si>
    <t>Sam Taylor</t>
  </si>
  <si>
    <t>$160K - $195K</t>
  </si>
  <si>
    <t>uber.com/careers/list/132</t>
  </si>
  <si>
    <t>Rejected after first phone screen</t>
  </si>
  <si>
    <t>Palantir</t>
  </si>
  <si>
    <t>Forward Deployed Engineer</t>
  </si>
  <si>
    <t>Washington, DC</t>
  </si>
  <si>
    <t>Rejected</t>
  </si>
  <si>
    <t>Jessica Huang</t>
  </si>
  <si>
    <t>$145K - $180K</t>
  </si>
  <si>
    <t>palantir.com/careers</t>
  </si>
  <si>
    <t>Super Day with 5 back-to-back interviews</t>
  </si>
  <si>
    <t>Twilio</t>
  </si>
  <si>
    <t>API Developer</t>
  </si>
  <si>
    <t>$135K - $165K</t>
  </si>
  <si>
    <t>twilio.com/company/jobs</t>
  </si>
  <si>
    <t>Interesting API-first company</t>
  </si>
  <si>
    <t>Snowflake</t>
  </si>
  <si>
    <t>Cloud Engineer</t>
  </si>
  <si>
    <t>Bellevue, WA</t>
  </si>
  <si>
    <t>Brandon Cole</t>
  </si>
  <si>
    <t>$170K - $205K</t>
  </si>
  <si>
    <t>careers.snowflake.com/us</t>
  </si>
  <si>
    <t>Recruiter said team is growing fast</t>
  </si>
  <si>
    <t>Spotify</t>
  </si>
  <si>
    <t>ML Research Scientist</t>
  </si>
  <si>
    <t>Elina Petrova</t>
  </si>
  <si>
    <t>$175K - $220K</t>
  </si>
  <si>
    <t>lifeatspotify.com/jobs</t>
  </si>
  <si>
    <t>Focus on recommendation algorithms</t>
  </si>
  <si>
    <t>Square</t>
  </si>
  <si>
    <t>Security Engineer</t>
  </si>
  <si>
    <t>$155K - $190K</t>
  </si>
  <si>
    <t>squareup.com/careers</t>
  </si>
  <si>
    <t>Applied 2 weeks ago, no update</t>
  </si>
  <si>
    <t>Atlassian</t>
  </si>
  <si>
    <t>Product Designer</t>
  </si>
  <si>
    <t>Mark Sullivan</t>
  </si>
  <si>
    <t>$130K - $160K</t>
  </si>
  <si>
    <t>atlassian.com/company/careers</t>
  </si>
  <si>
    <t>Friend on the design team referred me</t>
  </si>
  <si>
    <t>Plaid</t>
  </si>
  <si>
    <t>Dana Reeves</t>
  </si>
  <si>
    <t>plaid.com/careers</t>
  </si>
  <si>
    <t>Strong offer, negotiating equity</t>
  </si>
  <si>
    <t>Status Options</t>
  </si>
  <si>
    <t xml:space="preserve">Total </t>
  </si>
  <si>
    <t>Active</t>
  </si>
  <si>
    <t>Zudio</t>
  </si>
  <si>
    <t>asmasl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</si>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</sst>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center"/>
    </xf>
  </cellXfs>
  <cellStyles count="1">
    <cellStyle name="Normal" xfId="0" builtinId="0"/>
  </cellStyles>
  <dxfs count="18">
    <dxf>
      <font>
        <b/>
        <i val="0"/>
        <color rgb="FF006100"/>
      </font>
      <fill>
        <patternFill>
          <bgColor rgb="FFC6EFCE"/>
        </patternFill>
      </fill>
      <border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  <border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201081243231"/>
          <c:y val="0.12797997107854198"/>
          <c:w val="0.8088630726091588"/>
          <c:h val="0.8435800353484487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Tracker'!$Q$3:$Q$7</c:f>
              <c:strCache>
                <c:ptCount val="5"/>
                <c:pt idx="0">
                  <c:v>Applied</c:v>
                </c:pt>
                <c:pt idx="1">
                  <c:v>Assessment</c:v>
                </c:pt>
                <c:pt idx="2">
                  <c:v>Interview</c:v>
                </c:pt>
                <c:pt idx="3">
                  <c:v>Offer</c:v>
                </c:pt>
                <c:pt idx="4">
                  <c:v>Rejected</c:v>
                </c:pt>
              </c:strCache>
            </c:strRef>
          </c:cat>
          <c:val>
            <c:numRef>
              <c:f>'JOB Tracker'!$R$3:$R$7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0-4FFB-BD32-61F745BD02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0038544"/>
        <c:axId val="1850031472"/>
      </c:barChart>
      <c:catAx>
        <c:axId val="185003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31472"/>
        <c:crosses val="autoZero"/>
        <c:auto val="1"/>
        <c:lblAlgn val="ctr"/>
        <c:lblOffset val="100"/>
        <c:noMultiLvlLbl val="0"/>
      </c:catAx>
      <c:valAx>
        <c:axId val="18500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00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6201081243231"/>
          <c:y val="0.12797997107854198"/>
          <c:w val="0.8088630726091588"/>
          <c:h val="0.8435800353484487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Tracker'!$Q$12:$Q$15</c:f>
              <c:strCache>
                <c:ptCount val="4"/>
                <c:pt idx="0">
                  <c:v>In-Person</c:v>
                </c:pt>
                <c:pt idx="1">
                  <c:v>Remote</c:v>
                </c:pt>
                <c:pt idx="2">
                  <c:v>Travel</c:v>
                </c:pt>
                <c:pt idx="3">
                  <c:v>Hybrid</c:v>
                </c:pt>
              </c:strCache>
            </c:strRef>
          </c:cat>
          <c:val>
            <c:numRef>
              <c:f>'JOB Tracker'!$R$12:$R$15</c:f>
              <c:numCache>
                <c:formatCode>General</c:formatCode>
                <c:ptCount val="4"/>
                <c:pt idx="0">
                  <c:v>14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0-4FFB-BD32-61F745BD02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0038544"/>
        <c:axId val="1850031472"/>
      </c:barChart>
      <c:catAx>
        <c:axId val="18500385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31472"/>
        <c:crosses val="autoZero"/>
        <c:auto val="1"/>
        <c:lblAlgn val="ctr"/>
        <c:lblOffset val="100"/>
        <c:noMultiLvlLbl val="0"/>
      </c:catAx>
      <c:valAx>
        <c:axId val="18500314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500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0</xdr:row>
      <xdr:rowOff>27215</xdr:rowOff>
    </xdr:from>
    <xdr:to>
      <xdr:col>13</xdr:col>
      <xdr:colOff>45357</xdr:colOff>
      <xdr:row>2</xdr:row>
      <xdr:rowOff>108857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A6F813A-AB71-44E7-8055-89D3499D247B}"/>
            </a:ext>
          </a:extLst>
        </xdr:cNvPr>
        <xdr:cNvSpPr/>
      </xdr:nvSpPr>
      <xdr:spPr>
        <a:xfrm>
          <a:off x="127001" y="27215"/>
          <a:ext cx="14198112" cy="453349"/>
        </a:xfrm>
        <a:prstGeom prst="roundRect">
          <a:avLst>
            <a:gd name="adj" fmla="val 10985"/>
          </a:avLst>
        </a:prstGeom>
        <a:gradFill>
          <a:gsLst>
            <a:gs pos="32000">
              <a:srgbClr val="073673"/>
            </a:gs>
            <a:gs pos="67000">
              <a:srgbClr val="ADB9CA"/>
            </a:gs>
            <a:gs pos="81000">
              <a:schemeClr val="tx2">
                <a:lumMod val="50000"/>
                <a:lumOff val="50000"/>
                <a:alpha val="99000"/>
              </a:schemeClr>
            </a:gs>
            <a:gs pos="84000">
              <a:schemeClr val="tx2">
                <a:lumMod val="25000"/>
                <a:lumOff val="75000"/>
              </a:schemeClr>
            </a:gs>
            <a:gs pos="100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ea"/>
              <a:cs typeface="+mn-cs"/>
            </a:rPr>
            <a:t>JOB APPLICATION</a:t>
          </a:r>
          <a:r>
            <a:rPr lang="en-US" sz="20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TRACKER</a:t>
          </a:r>
          <a:endParaRPr lang="en-US" sz="20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194261</xdr:colOff>
      <xdr:row>2</xdr:row>
      <xdr:rowOff>179438</xdr:rowOff>
    </xdr:from>
    <xdr:to>
      <xdr:col>3</xdr:col>
      <xdr:colOff>303119</xdr:colOff>
      <xdr:row>8</xdr:row>
      <xdr:rowOff>129655</xdr:rowOff>
    </xdr:to>
    <xdr:sp macro="" textlink="">
      <xdr:nvSpPr>
        <xdr:cNvPr id="3" name="Rounded Rectangle 1">
          <a:extLst>
            <a:ext uri="{FF2B5EF4-FFF2-40B4-BE49-F238E27FC236}">
              <a16:creationId xmlns:a16="http://schemas.microsoft.com/office/drawing/2014/main" id="{1AC082B2-5F15-4023-973D-74A4E5A2F73F}"/>
            </a:ext>
          </a:extLst>
        </xdr:cNvPr>
        <xdr:cNvSpPr/>
      </xdr:nvSpPr>
      <xdr:spPr>
        <a:xfrm>
          <a:off x="194261" y="551145"/>
          <a:ext cx="1866724" cy="1065339"/>
        </a:xfrm>
        <a:prstGeom prst="roundRect">
          <a:avLst>
            <a:gd name="adj" fmla="val 10985"/>
          </a:avLst>
        </a:prstGeom>
        <a:gradFill>
          <a:gsLst>
            <a:gs pos="22000">
              <a:srgbClr val="073673"/>
            </a:gs>
            <a:gs pos="54000">
              <a:srgbClr val="506F98"/>
            </a:gs>
            <a:gs pos="75000">
              <a:schemeClr val="tx2">
                <a:lumMod val="50000"/>
                <a:lumOff val="50000"/>
              </a:schemeClr>
            </a:gs>
            <a:gs pos="89000">
              <a:schemeClr val="tx2">
                <a:lumMod val="25000"/>
                <a:lumOff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181429</xdr:colOff>
      <xdr:row>9</xdr:row>
      <xdr:rowOff>63501</xdr:rowOff>
    </xdr:from>
    <xdr:to>
      <xdr:col>3</xdr:col>
      <xdr:colOff>290287</xdr:colOff>
      <xdr:row>15</xdr:row>
      <xdr:rowOff>18143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EFD551CD-AE0B-423E-8581-EBF09580CD45}"/>
            </a:ext>
          </a:extLst>
        </xdr:cNvPr>
        <xdr:cNvSpPr/>
      </xdr:nvSpPr>
      <xdr:spPr>
        <a:xfrm>
          <a:off x="181429" y="1696358"/>
          <a:ext cx="1868715" cy="1043214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508000</xdr:colOff>
      <xdr:row>3</xdr:row>
      <xdr:rowOff>18143</xdr:rowOff>
    </xdr:from>
    <xdr:to>
      <xdr:col>5</xdr:col>
      <xdr:colOff>254001</xdr:colOff>
      <xdr:row>8</xdr:row>
      <xdr:rowOff>154214</xdr:rowOff>
    </xdr:to>
    <xdr:sp macro="" textlink="">
      <xdr:nvSpPr>
        <xdr:cNvPr id="5" name="Rounded Rectangle 1">
          <a:extLst>
            <a:ext uri="{FF2B5EF4-FFF2-40B4-BE49-F238E27FC236}">
              <a16:creationId xmlns:a16="http://schemas.microsoft.com/office/drawing/2014/main" id="{40DA305F-7941-4FDF-9E2A-F2772C4F1DBD}"/>
            </a:ext>
          </a:extLst>
        </xdr:cNvPr>
        <xdr:cNvSpPr/>
      </xdr:nvSpPr>
      <xdr:spPr>
        <a:xfrm>
          <a:off x="2267857" y="562429"/>
          <a:ext cx="1868715" cy="1043214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69000">
              <a:schemeClr val="tx2">
                <a:lumMod val="50000"/>
                <a:lumOff val="50000"/>
              </a:schemeClr>
            </a:gs>
            <a:gs pos="47000">
              <a:srgbClr val="416390"/>
            </a:gs>
            <a:gs pos="100000">
              <a:schemeClr val="tx2">
                <a:lumMod val="25000"/>
                <a:lumOff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526143</xdr:colOff>
      <xdr:row>9</xdr:row>
      <xdr:rowOff>63500</xdr:rowOff>
    </xdr:from>
    <xdr:to>
      <xdr:col>5</xdr:col>
      <xdr:colOff>272144</xdr:colOff>
      <xdr:row>15</xdr:row>
      <xdr:rowOff>18142</xdr:rowOff>
    </xdr:to>
    <xdr:sp macro="" textlink="">
      <xdr:nvSpPr>
        <xdr:cNvPr id="6" name="Rounded Rectangle 1">
          <a:extLst>
            <a:ext uri="{FF2B5EF4-FFF2-40B4-BE49-F238E27FC236}">
              <a16:creationId xmlns:a16="http://schemas.microsoft.com/office/drawing/2014/main" id="{1D9D4E63-E02D-4C82-B9E6-4153928F1F3C}"/>
            </a:ext>
          </a:extLst>
        </xdr:cNvPr>
        <xdr:cNvSpPr/>
      </xdr:nvSpPr>
      <xdr:spPr>
        <a:xfrm>
          <a:off x="2286000" y="1696357"/>
          <a:ext cx="1868715" cy="1043214"/>
        </a:xfrm>
        <a:prstGeom prst="roundRect">
          <a:avLst>
            <a:gd name="adj" fmla="val 10985"/>
          </a:avLst>
        </a:prstGeom>
        <a:gradFill>
          <a:gsLst>
            <a:gs pos="17000">
              <a:srgbClr val="073673"/>
            </a:gs>
            <a:gs pos="53000">
              <a:schemeClr val="tx2">
                <a:lumMod val="50000"/>
                <a:lumOff val="50000"/>
              </a:schemeClr>
            </a:gs>
            <a:gs pos="72000">
              <a:schemeClr val="tx2">
                <a:lumMod val="25000"/>
                <a:lumOff val="75000"/>
              </a:schemeClr>
            </a:gs>
            <a:gs pos="99000">
              <a:schemeClr val="tx2">
                <a:lumMod val="10000"/>
                <a:lumOff val="9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681464</xdr:colOff>
      <xdr:row>3</xdr:row>
      <xdr:rowOff>20797</xdr:rowOff>
    </xdr:from>
    <xdr:to>
      <xdr:col>10</xdr:col>
      <xdr:colOff>971970</xdr:colOff>
      <xdr:row>15</xdr:row>
      <xdr:rowOff>11726</xdr:rowOff>
    </xdr:to>
    <xdr:sp macro="" textlink="">
      <xdr:nvSpPr>
        <xdr:cNvPr id="7" name="Rounded Rectangle 1">
          <a:extLst>
            <a:ext uri="{FF2B5EF4-FFF2-40B4-BE49-F238E27FC236}">
              <a16:creationId xmlns:a16="http://schemas.microsoft.com/office/drawing/2014/main" id="{6DAA5B44-5A45-44CA-8771-341CECEBBB5C}"/>
            </a:ext>
          </a:extLst>
        </xdr:cNvPr>
        <xdr:cNvSpPr/>
      </xdr:nvSpPr>
      <xdr:spPr>
        <a:xfrm>
          <a:off x="4553415" y="578358"/>
          <a:ext cx="4851665" cy="2221173"/>
        </a:xfrm>
        <a:prstGeom prst="roundRect">
          <a:avLst>
            <a:gd name="adj" fmla="val 10985"/>
          </a:avLst>
        </a:prstGeom>
        <a:gradFill>
          <a:gsLst>
            <a:gs pos="53000">
              <a:srgbClr val="436591"/>
            </a:gs>
            <a:gs pos="24000">
              <a:srgbClr val="073673"/>
            </a:gs>
            <a:gs pos="81000">
              <a:schemeClr val="tx2">
                <a:lumMod val="50000"/>
                <a:lumOff val="5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190499</xdr:colOff>
      <xdr:row>3</xdr:row>
      <xdr:rowOff>36286</xdr:rowOff>
    </xdr:from>
    <xdr:to>
      <xdr:col>12</xdr:col>
      <xdr:colOff>2630714</xdr:colOff>
      <xdr:row>15</xdr:row>
      <xdr:rowOff>27215</xdr:rowOff>
    </xdr:to>
    <xdr:sp macro="" textlink="">
      <xdr:nvSpPr>
        <xdr:cNvPr id="8" name="Rounded Rectangle 1">
          <a:extLst>
            <a:ext uri="{FF2B5EF4-FFF2-40B4-BE49-F238E27FC236}">
              <a16:creationId xmlns:a16="http://schemas.microsoft.com/office/drawing/2014/main" id="{A5D50027-DF36-4183-97F3-A222F3D9EB43}"/>
            </a:ext>
          </a:extLst>
        </xdr:cNvPr>
        <xdr:cNvSpPr/>
      </xdr:nvSpPr>
      <xdr:spPr>
        <a:xfrm>
          <a:off x="9633856" y="580572"/>
          <a:ext cx="4535715" cy="2168072"/>
        </a:xfrm>
        <a:prstGeom prst="roundRect">
          <a:avLst>
            <a:gd name="adj" fmla="val 10985"/>
          </a:avLst>
        </a:prstGeom>
        <a:gradFill>
          <a:gsLst>
            <a:gs pos="44000">
              <a:srgbClr val="3D608E"/>
            </a:gs>
            <a:gs pos="17000">
              <a:srgbClr val="073673"/>
            </a:gs>
            <a:gs pos="69000">
              <a:schemeClr val="tx2">
                <a:lumMod val="50000"/>
                <a:lumOff val="50000"/>
              </a:schemeClr>
            </a:gs>
            <a:gs pos="93000">
              <a:schemeClr val="tx2">
                <a:lumMod val="25000"/>
                <a:lumOff val="7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131646</xdr:colOff>
      <xdr:row>3</xdr:row>
      <xdr:rowOff>15488</xdr:rowOff>
    </xdr:from>
    <xdr:to>
      <xdr:col>3</xdr:col>
      <xdr:colOff>124759</xdr:colOff>
      <xdr:row>4</xdr:row>
      <xdr:rowOff>178693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CFE056-0426-4791-A2E3-258800C44F4C}"/>
            </a:ext>
          </a:extLst>
        </xdr:cNvPr>
        <xdr:cNvSpPr txBox="1"/>
      </xdr:nvSpPr>
      <xdr:spPr>
        <a:xfrm>
          <a:off x="367777" y="570714"/>
          <a:ext cx="1518389" cy="348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bg1"/>
              </a:solidFill>
            </a:rPr>
            <a:t>Total</a:t>
          </a:r>
          <a:endParaRPr lang="en-IN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743414</xdr:colOff>
      <xdr:row>3</xdr:row>
      <xdr:rowOff>95729</xdr:rowOff>
    </xdr:from>
    <xdr:to>
      <xdr:col>5</xdr:col>
      <xdr:colOff>147991</xdr:colOff>
      <xdr:row>4</xdr:row>
      <xdr:rowOff>149975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DB0279-04C0-47FF-A685-248EA4BE92F0}"/>
            </a:ext>
          </a:extLst>
        </xdr:cNvPr>
        <xdr:cNvSpPr txBox="1"/>
      </xdr:nvSpPr>
      <xdr:spPr>
        <a:xfrm>
          <a:off x="2504821" y="650955"/>
          <a:ext cx="1520180" cy="239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bg1"/>
              </a:solidFill>
            </a:rPr>
            <a:t>Active</a:t>
          </a:r>
        </a:p>
      </xdr:txBody>
    </xdr:sp>
    <xdr:clientData/>
  </xdr:twoCellAnchor>
  <xdr:twoCellAnchor>
    <xdr:from>
      <xdr:col>3</xdr:col>
      <xdr:colOff>743414</xdr:colOff>
      <xdr:row>9</xdr:row>
      <xdr:rowOff>127639</xdr:rowOff>
    </xdr:from>
    <xdr:to>
      <xdr:col>5</xdr:col>
      <xdr:colOff>147991</xdr:colOff>
      <xdr:row>11</xdr:row>
      <xdr:rowOff>63819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6C20A9-E6A5-40EF-871D-C81AF73234DC}"/>
            </a:ext>
          </a:extLst>
        </xdr:cNvPr>
        <xdr:cNvSpPr txBox="1"/>
      </xdr:nvSpPr>
      <xdr:spPr>
        <a:xfrm>
          <a:off x="2504821" y="1793317"/>
          <a:ext cx="1520180" cy="306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bg1"/>
              </a:solidFill>
            </a:rPr>
            <a:t>Offers</a:t>
          </a:r>
          <a:endParaRPr lang="en-IN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131646</xdr:colOff>
      <xdr:row>9</xdr:row>
      <xdr:rowOff>92928</xdr:rowOff>
    </xdr:from>
    <xdr:to>
      <xdr:col>3</xdr:col>
      <xdr:colOff>124759</xdr:colOff>
      <xdr:row>11</xdr:row>
      <xdr:rowOff>79775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2540090-6E05-45BC-8437-F15F0440A4D0}"/>
            </a:ext>
          </a:extLst>
        </xdr:cNvPr>
        <xdr:cNvSpPr txBox="1"/>
      </xdr:nvSpPr>
      <xdr:spPr>
        <a:xfrm>
          <a:off x="367777" y="1758606"/>
          <a:ext cx="1518389" cy="356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bg1"/>
              </a:solidFill>
            </a:rPr>
            <a:t>Rejected</a:t>
          </a:r>
          <a:endParaRPr lang="en-IN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127637</xdr:colOff>
      <xdr:row>5</xdr:row>
      <xdr:rowOff>9574</xdr:rowOff>
    </xdr:from>
    <xdr:to>
      <xdr:col>2</xdr:col>
      <xdr:colOff>1167888</xdr:colOff>
      <xdr:row>8</xdr:row>
      <xdr:rowOff>35102</xdr:rowOff>
    </xdr:to>
    <xdr:sp macro="" textlink="$R$8">
      <xdr:nvSpPr>
        <xdr:cNvPr id="18" name="TextBox 17">
          <a:extLst>
            <a:ext uri="{FF2B5EF4-FFF2-40B4-BE49-F238E27FC236}">
              <a16:creationId xmlns:a16="http://schemas.microsoft.com/office/drawing/2014/main" id="{D339C78C-4119-4FE5-8055-DAD079185221}"/>
            </a:ext>
          </a:extLst>
        </xdr:cNvPr>
        <xdr:cNvSpPr txBox="1"/>
      </xdr:nvSpPr>
      <xdr:spPr>
        <a:xfrm>
          <a:off x="625426" y="934951"/>
          <a:ext cx="1040251" cy="5807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8A3E05F-9263-44DA-88A4-6AB7AB0892FD}" type="TxLink">
            <a:rPr lang="en-US" sz="4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24</a:t>
          </a:fld>
          <a:endParaRPr lang="en-IN" sz="9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947713</xdr:colOff>
      <xdr:row>5</xdr:row>
      <xdr:rowOff>9574</xdr:rowOff>
    </xdr:from>
    <xdr:to>
      <xdr:col>4</xdr:col>
      <xdr:colOff>622235</xdr:colOff>
      <xdr:row>8</xdr:row>
      <xdr:rowOff>74706</xdr:rowOff>
    </xdr:to>
    <xdr:sp macro="" textlink="$R$9">
      <xdr:nvSpPr>
        <xdr:cNvPr id="19" name="TextBox 18">
          <a:extLst>
            <a:ext uri="{FF2B5EF4-FFF2-40B4-BE49-F238E27FC236}">
              <a16:creationId xmlns:a16="http://schemas.microsoft.com/office/drawing/2014/main" id="{27FCD131-4811-461D-90E0-5FD03E052290}"/>
            </a:ext>
          </a:extLst>
        </xdr:cNvPr>
        <xdr:cNvSpPr txBox="1"/>
      </xdr:nvSpPr>
      <xdr:spPr>
        <a:xfrm>
          <a:off x="2703301" y="943398"/>
          <a:ext cx="1041640" cy="625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1EE4FE0-FEBA-4659-91A0-BA2F39D05612}" type="TxLink">
            <a:rPr lang="en-US" sz="4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16</a:t>
          </a:fld>
          <a:endParaRPr lang="en-IN" sz="857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947713</xdr:colOff>
      <xdr:row>11</xdr:row>
      <xdr:rowOff>86135</xdr:rowOff>
    </xdr:from>
    <xdr:to>
      <xdr:col>4</xdr:col>
      <xdr:colOff>622235</xdr:colOff>
      <xdr:row>14</xdr:row>
      <xdr:rowOff>151267</xdr:rowOff>
    </xdr:to>
    <xdr:sp macro="" textlink="$R$6">
      <xdr:nvSpPr>
        <xdr:cNvPr id="20" name="TextBox 19">
          <a:extLst>
            <a:ext uri="{FF2B5EF4-FFF2-40B4-BE49-F238E27FC236}">
              <a16:creationId xmlns:a16="http://schemas.microsoft.com/office/drawing/2014/main" id="{8D70C25B-6575-4264-9B03-2FED4903D64A}"/>
            </a:ext>
          </a:extLst>
        </xdr:cNvPr>
        <xdr:cNvSpPr txBox="1"/>
      </xdr:nvSpPr>
      <xdr:spPr>
        <a:xfrm>
          <a:off x="2703301" y="2140547"/>
          <a:ext cx="1041640" cy="625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06D23AC-5D87-4DBF-8A38-3EA2794A1460}" type="TxLink">
            <a:rPr lang="en-US" sz="4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3</a:t>
          </a:fld>
          <a:endParaRPr lang="en-IN" sz="857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87537</xdr:colOff>
      <xdr:row>11</xdr:row>
      <xdr:rowOff>108652</xdr:rowOff>
    </xdr:from>
    <xdr:to>
      <xdr:col>2</xdr:col>
      <xdr:colOff>1126633</xdr:colOff>
      <xdr:row>14</xdr:row>
      <xdr:rowOff>134180</xdr:rowOff>
    </xdr:to>
    <xdr:sp macro="" textlink="$R$7">
      <xdr:nvSpPr>
        <xdr:cNvPr id="21" name="TextBox 20">
          <a:extLst>
            <a:ext uri="{FF2B5EF4-FFF2-40B4-BE49-F238E27FC236}">
              <a16:creationId xmlns:a16="http://schemas.microsoft.com/office/drawing/2014/main" id="{F3E61D42-5AF5-463C-8833-E43B618E4BA9}"/>
            </a:ext>
          </a:extLst>
        </xdr:cNvPr>
        <xdr:cNvSpPr txBox="1"/>
      </xdr:nvSpPr>
      <xdr:spPr>
        <a:xfrm>
          <a:off x="582927" y="2139751"/>
          <a:ext cx="1039096" cy="579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AA1DCA7-D0C5-4B97-BBD2-F84D7A1B8E3D}" type="TxLink">
            <a:rPr lang="en-US" sz="4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8</a:t>
          </a:fld>
          <a:endParaRPr lang="en-IN" sz="7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888999</xdr:colOff>
      <xdr:row>3</xdr:row>
      <xdr:rowOff>95729</xdr:rowOff>
    </xdr:from>
    <xdr:to>
      <xdr:col>10</xdr:col>
      <xdr:colOff>224117</xdr:colOff>
      <xdr:row>5</xdr:row>
      <xdr:rowOff>127000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61ADEEC-B2A5-4477-BE27-5F5C85BC509C}"/>
            </a:ext>
          </a:extLst>
        </xdr:cNvPr>
        <xdr:cNvSpPr txBox="1"/>
      </xdr:nvSpPr>
      <xdr:spPr>
        <a:xfrm>
          <a:off x="5453528" y="656023"/>
          <a:ext cx="3204883" cy="4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bg1"/>
              </a:solidFill>
            </a:rPr>
            <a:t>Application</a:t>
          </a:r>
          <a:r>
            <a:rPr lang="en-IN" sz="2000" b="1" baseline="0">
              <a:solidFill>
                <a:schemeClr val="bg1"/>
              </a:solidFill>
            </a:rPr>
            <a:t> Pipeline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52295</xdr:colOff>
      <xdr:row>4</xdr:row>
      <xdr:rowOff>171822</xdr:rowOff>
    </xdr:from>
    <xdr:to>
      <xdr:col>10</xdr:col>
      <xdr:colOff>769472</xdr:colOff>
      <xdr:row>14</xdr:row>
      <xdr:rowOff>90392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7692CF-0D13-4FF9-B4FD-37D008AC7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978646</xdr:colOff>
      <xdr:row>3</xdr:row>
      <xdr:rowOff>103200</xdr:rowOff>
    </xdr:from>
    <xdr:to>
      <xdr:col>12</xdr:col>
      <xdr:colOff>2084293</xdr:colOff>
      <xdr:row>5</xdr:row>
      <xdr:rowOff>134471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79BDC8-2FA6-421F-BB98-CBA0C6130FC1}"/>
            </a:ext>
          </a:extLst>
        </xdr:cNvPr>
        <xdr:cNvSpPr txBox="1"/>
      </xdr:nvSpPr>
      <xdr:spPr>
        <a:xfrm>
          <a:off x="10406528" y="663494"/>
          <a:ext cx="3204883" cy="4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bg1"/>
              </a:solidFill>
            </a:rPr>
            <a:t>Job</a:t>
          </a:r>
          <a:r>
            <a:rPr lang="en-IN" sz="2000" b="1" baseline="0">
              <a:solidFill>
                <a:schemeClr val="bg1"/>
              </a:solidFill>
            </a:rPr>
            <a:t> Types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298825</xdr:colOff>
      <xdr:row>4</xdr:row>
      <xdr:rowOff>171822</xdr:rowOff>
    </xdr:from>
    <xdr:to>
      <xdr:col>13</xdr:col>
      <xdr:colOff>37355</xdr:colOff>
      <xdr:row>14</xdr:row>
      <xdr:rowOff>90392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E7452D6-A74E-456A-ACA5-B40F851A3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288635</xdr:colOff>
      <xdr:row>11</xdr:row>
      <xdr:rowOff>161635</xdr:rowOff>
    </xdr:from>
    <xdr:to>
      <xdr:col>10</xdr:col>
      <xdr:colOff>810490</xdr:colOff>
      <xdr:row>14</xdr:row>
      <xdr:rowOff>129308</xdr:rowOff>
    </xdr:to>
    <xdr:pic>
      <xdr:nvPicPr>
        <xdr:cNvPr id="27" name="Graphic 26" descr="Rocket with solid fill">
          <a:extLst>
            <a:ext uri="{FF2B5EF4-FFF2-40B4-BE49-F238E27FC236}">
              <a16:creationId xmlns:a16="http://schemas.microsoft.com/office/drawing/2014/main" id="{24F582D7-1214-467A-9B87-5880DEC74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728362" y="2193635"/>
          <a:ext cx="521855" cy="52185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1754909</xdr:colOff>
      <xdr:row>11</xdr:row>
      <xdr:rowOff>92364</xdr:rowOff>
    </xdr:from>
    <xdr:to>
      <xdr:col>12</xdr:col>
      <xdr:colOff>2380672</xdr:colOff>
      <xdr:row>14</xdr:row>
      <xdr:rowOff>163945</xdr:rowOff>
    </xdr:to>
    <xdr:pic>
      <xdr:nvPicPr>
        <xdr:cNvPr id="29" name="Graphic 28" descr="Monitor with solid fill">
          <a:extLst>
            <a:ext uri="{FF2B5EF4-FFF2-40B4-BE49-F238E27FC236}">
              <a16:creationId xmlns:a16="http://schemas.microsoft.com/office/drawing/2014/main" id="{02C80770-AE72-43B5-B35E-2D733CFA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288818" y="2124364"/>
          <a:ext cx="625763" cy="6257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23D37-AAF3-4740-B859-7A762D8C586A}" name="Table1" displayName="Table1" ref="B17:M42" headerRowDxfId="11" headerRowBorderDxfId="16" tableBorderDxfId="17">
  <autoFilter ref="B17:M42" xr:uid="{E5523D37-AAF3-4740-B859-7A762D8C58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13DC01A-F7C6-4584-99EA-5C4003F3E0B5}" name="#" totalsRowLabel="Total" dataDxfId="15" totalsRowDxfId="6"/>
    <tableColumn id="2" xr3:uid="{4E2158D5-9163-4E26-8359-7DCA931E4EC4}" name="Company "/>
    <tableColumn id="3" xr3:uid="{C1FACE70-0EFD-4034-AA14-0A87AC9AEA9C}" name="Position "/>
    <tableColumn id="4" xr3:uid="{69C7F12F-C5A2-4DF6-A74B-EA72E570FC3C}" name="Location"/>
    <tableColumn id="5" xr3:uid="{67CE168A-9EE1-44B2-9B21-06A3A7487ADA}" name="Job Type" dataDxfId="14" totalsRowDxfId="7"/>
    <tableColumn id="6" xr3:uid="{755B6B7A-3310-494C-BC70-0A4C086C970F}" name="Date Applied" dataDxfId="13" totalsRowDxfId="8"/>
    <tableColumn id="7" xr3:uid="{43661FB4-9773-4BB8-8835-5ABEB5628034}" name="Status" dataDxfId="4" totalsRowDxfId="9"/>
    <tableColumn id="8" xr3:uid="{9190493E-B8E8-46C5-9139-614015F90CB4}" name="Follow-up Date" dataDxfId="5">
      <calculatedColumnFormula>Table1[[#This Row],[Date Applied]]+14</calculatedColumnFormula>
    </tableColumn>
    <tableColumn id="9" xr3:uid="{CD15D0CE-B25F-4EAB-AD8A-7FD3453006E2}" name="Contact Person" dataDxfId="12" totalsRowDxfId="10"/>
    <tableColumn id="10" xr3:uid="{0C89D5A8-8EE2-4D3C-AD26-95ABF2CFD098}" name="Salary Range"/>
    <tableColumn id="11" xr3:uid="{B6B036A2-D03C-44E0-B6BE-A030E35DE735}" name="Link"/>
    <tableColumn id="12" xr3:uid="{5A7224EA-5AC2-468E-BF9C-81483300C875}" name="Notes " totalsRowFunction="count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B6BF-AAF5-4748-A149-35244A60C02D}">
  <dimension ref="A2:R42"/>
  <sheetViews>
    <sheetView tabSelected="1" topLeftCell="A14" zoomScale="83" zoomScaleNormal="70" workbookViewId="0">
      <selection activeCell="G43" sqref="G43"/>
    </sheetView>
  </sheetViews>
  <sheetFormatPr defaultRowHeight="14.5" x14ac:dyDescent="0.35"/>
  <cols>
    <col min="1" max="1" width="3.36328125" customWidth="1"/>
    <col min="2" max="2" width="3.7265625" style="2" customWidth="1"/>
    <col min="3" max="3" width="18.08984375" customWidth="1"/>
    <col min="4" max="4" width="19.54296875" customWidth="1"/>
    <col min="5" max="5" width="10.7265625" customWidth="1"/>
    <col min="6" max="6" width="9.90625" customWidth="1"/>
    <col min="7" max="7" width="13.36328125" customWidth="1"/>
    <col min="8" max="8" width="12" style="1" customWidth="1"/>
    <col min="9" max="9" width="15.1796875" customWidth="1"/>
    <col min="10" max="10" width="14.90625" customWidth="1"/>
    <col min="11" max="11" width="14.26953125" customWidth="1"/>
    <col min="12" max="12" width="30" customWidth="1"/>
    <col min="13" max="13" width="39.36328125" customWidth="1"/>
    <col min="15" max="15" width="13.26953125" bestFit="1" customWidth="1"/>
    <col min="17" max="17" width="13.26953125" bestFit="1" customWidth="1"/>
  </cols>
  <sheetData>
    <row r="2" spans="17:18" x14ac:dyDescent="0.35">
      <c r="Q2" s="3" t="s">
        <v>161</v>
      </c>
    </row>
    <row r="3" spans="17:18" x14ac:dyDescent="0.35">
      <c r="Q3" t="s">
        <v>13</v>
      </c>
      <c r="R3">
        <f>COUNTIF(Table1[Status],Q3)</f>
        <v>6</v>
      </c>
    </row>
    <row r="4" spans="17:18" x14ac:dyDescent="0.35">
      <c r="Q4" t="s">
        <v>20</v>
      </c>
      <c r="R4">
        <f>COUNTIF(Table1[Status],Q4)</f>
        <v>4</v>
      </c>
    </row>
    <row r="5" spans="17:18" x14ac:dyDescent="0.35">
      <c r="Q5" t="s">
        <v>27</v>
      </c>
      <c r="R5">
        <f>COUNTIF(Table1[Status],Q5)</f>
        <v>3</v>
      </c>
    </row>
    <row r="6" spans="17:18" x14ac:dyDescent="0.35">
      <c r="Q6" t="s">
        <v>34</v>
      </c>
      <c r="R6">
        <f>COUNTIF(Table1[Status],Q6)</f>
        <v>3</v>
      </c>
    </row>
    <row r="7" spans="17:18" x14ac:dyDescent="0.35">
      <c r="Q7" t="s">
        <v>123</v>
      </c>
      <c r="R7">
        <f>COUNTIF(Table1[Status],Q7)</f>
        <v>8</v>
      </c>
    </row>
    <row r="8" spans="17:18" x14ac:dyDescent="0.35">
      <c r="Q8" s="10" t="s">
        <v>162</v>
      </c>
      <c r="R8" s="9">
        <f>SUM(R3:R7)</f>
        <v>24</v>
      </c>
    </row>
    <row r="9" spans="17:18" x14ac:dyDescent="0.35">
      <c r="Q9" t="s">
        <v>163</v>
      </c>
      <c r="R9">
        <f>SUM(R3:R6)</f>
        <v>16</v>
      </c>
    </row>
    <row r="11" spans="17:18" x14ac:dyDescent="0.35">
      <c r="Q11" t="str" cm="1">
        <f t="array" ref="Q11:Q16">_xlfn.UNIQUE(Table1[[#All],[Job Type]] )</f>
        <v>Job Type</v>
      </c>
    </row>
    <row r="12" spans="17:18" x14ac:dyDescent="0.35">
      <c r="Q12" t="str">
        <v>In-Person</v>
      </c>
      <c r="R12">
        <f>COUNTIF(Table1[Job Type],Q12)</f>
        <v>14</v>
      </c>
    </row>
    <row r="13" spans="17:18" x14ac:dyDescent="0.35">
      <c r="Q13" t="str">
        <v>Remote</v>
      </c>
      <c r="R13">
        <f>COUNTIF(Table1[Job Type],Q13)</f>
        <v>6</v>
      </c>
    </row>
    <row r="14" spans="17:18" x14ac:dyDescent="0.35">
      <c r="Q14" t="str">
        <v>Travel</v>
      </c>
      <c r="R14">
        <f>COUNTIF(Table1[Job Type],Q14)</f>
        <v>3</v>
      </c>
    </row>
    <row r="15" spans="17:18" x14ac:dyDescent="0.35">
      <c r="Q15" t="str">
        <v>Hybrid</v>
      </c>
      <c r="R15">
        <f>COUNTIF(Table1[Job Type],Q15)</f>
        <v>1</v>
      </c>
    </row>
    <row r="16" spans="17:18" x14ac:dyDescent="0.35">
      <c r="Q16">
        <v>0</v>
      </c>
    </row>
    <row r="17" spans="1:13" s="3" customFormat="1" x14ac:dyDescent="0.35">
      <c r="A17" s="4"/>
      <c r="B17" s="8" t="s">
        <v>0</v>
      </c>
      <c r="C17" s="8" t="s">
        <v>1</v>
      </c>
      <c r="D17" s="8" t="s">
        <v>2</v>
      </c>
      <c r="E17" s="8" t="s">
        <v>3</v>
      </c>
      <c r="F17" s="8" t="s">
        <v>4</v>
      </c>
      <c r="G17" s="8" t="s">
        <v>5</v>
      </c>
      <c r="H17" s="8" t="s">
        <v>6</v>
      </c>
      <c r="I17" s="8" t="s">
        <v>7</v>
      </c>
      <c r="J17" s="8" t="s">
        <v>8</v>
      </c>
      <c r="K17" s="8" t="s">
        <v>9</v>
      </c>
      <c r="L17" s="8" t="s">
        <v>10</v>
      </c>
      <c r="M17" s="8" t="s">
        <v>11</v>
      </c>
    </row>
    <row r="18" spans="1:13" x14ac:dyDescent="0.35">
      <c r="B18" s="1">
        <v>1</v>
      </c>
      <c r="C18" t="s">
        <v>164</v>
      </c>
      <c r="D18" t="s">
        <v>165</v>
      </c>
      <c r="E18" t="s">
        <v>166</v>
      </c>
      <c r="F18" s="5" t="s">
        <v>12</v>
      </c>
      <c r="G18" s="6">
        <v>46113</v>
      </c>
      <c r="H18" s="1" t="s">
        <v>13</v>
      </c>
      <c r="I18" s="6">
        <f>Table1[[#This Row],[Date Applied]]+14</f>
        <v>46127</v>
      </c>
      <c r="J18" s="1" t="s">
        <v>14</v>
      </c>
      <c r="K18" t="s">
        <v>14</v>
      </c>
      <c r="L18" t="s">
        <v>15</v>
      </c>
      <c r="M18" t="s">
        <v>16</v>
      </c>
    </row>
    <row r="19" spans="1:13" x14ac:dyDescent="0.35">
      <c r="B19" s="1">
        <v>2</v>
      </c>
      <c r="C19" t="s">
        <v>17</v>
      </c>
      <c r="D19" t="s">
        <v>18</v>
      </c>
      <c r="E19" t="s">
        <v>19</v>
      </c>
      <c r="F19" s="5" t="s">
        <v>12</v>
      </c>
      <c r="G19" s="6">
        <v>46108</v>
      </c>
      <c r="H19" s="1" t="s">
        <v>123</v>
      </c>
      <c r="I19" s="6">
        <f>Table1[[#This Row],[Date Applied]]+14</f>
        <v>46122</v>
      </c>
      <c r="J19" s="1" t="s">
        <v>21</v>
      </c>
      <c r="K19" t="s">
        <v>14</v>
      </c>
      <c r="L19" t="s">
        <v>22</v>
      </c>
      <c r="M19" t="s">
        <v>23</v>
      </c>
    </row>
    <row r="20" spans="1:13" x14ac:dyDescent="0.35">
      <c r="B20" s="1">
        <v>3</v>
      </c>
      <c r="C20" t="s">
        <v>24</v>
      </c>
      <c r="D20" t="s">
        <v>25</v>
      </c>
      <c r="E20" t="s">
        <v>26</v>
      </c>
      <c r="F20" s="5" t="s">
        <v>26</v>
      </c>
      <c r="G20" s="6">
        <v>46101</v>
      </c>
      <c r="H20" s="1" t="s">
        <v>27</v>
      </c>
      <c r="I20" s="6">
        <f>Table1[[#This Row],[Date Applied]]+14</f>
        <v>46115</v>
      </c>
      <c r="J20" s="1" t="s">
        <v>14</v>
      </c>
      <c r="K20" t="s">
        <v>28</v>
      </c>
      <c r="L20" t="s">
        <v>29</v>
      </c>
      <c r="M20" t="s">
        <v>30</v>
      </c>
    </row>
    <row r="21" spans="1:13" x14ac:dyDescent="0.35">
      <c r="B21" s="1">
        <v>4</v>
      </c>
      <c r="C21" t="s">
        <v>31</v>
      </c>
      <c r="D21" t="s">
        <v>32</v>
      </c>
      <c r="E21" t="s">
        <v>33</v>
      </c>
      <c r="F21" s="5" t="s">
        <v>12</v>
      </c>
      <c r="G21" s="6">
        <v>46095</v>
      </c>
      <c r="H21" s="1" t="s">
        <v>34</v>
      </c>
      <c r="I21" s="6">
        <f>Table1[[#This Row],[Date Applied]]+14</f>
        <v>46109</v>
      </c>
      <c r="J21" s="1" t="s">
        <v>35</v>
      </c>
      <c r="K21" t="s">
        <v>36</v>
      </c>
      <c r="L21" t="s">
        <v>37</v>
      </c>
      <c r="M21" t="s">
        <v>38</v>
      </c>
    </row>
    <row r="22" spans="1:13" x14ac:dyDescent="0.35">
      <c r="B22" s="1">
        <v>5</v>
      </c>
      <c r="C22" s="7" t="s">
        <v>39</v>
      </c>
      <c r="D22" t="s">
        <v>40</v>
      </c>
      <c r="E22" t="s">
        <v>26</v>
      </c>
      <c r="F22" s="5" t="s">
        <v>26</v>
      </c>
      <c r="G22" s="6">
        <v>46110</v>
      </c>
      <c r="H22" s="1" t="s">
        <v>20</v>
      </c>
      <c r="I22" s="6">
        <f>Table1[[#This Row],[Date Applied]]+14</f>
        <v>46124</v>
      </c>
      <c r="J22" s="1" t="s">
        <v>41</v>
      </c>
      <c r="K22" t="s">
        <v>42</v>
      </c>
      <c r="L22" t="s">
        <v>43</v>
      </c>
      <c r="M22" t="s">
        <v>44</v>
      </c>
    </row>
    <row r="23" spans="1:13" x14ac:dyDescent="0.35">
      <c r="B23" s="1">
        <v>6</v>
      </c>
      <c r="C23" t="s">
        <v>45</v>
      </c>
      <c r="D23" t="s">
        <v>46</v>
      </c>
      <c r="E23" t="s">
        <v>47</v>
      </c>
      <c r="F23" s="5" t="s">
        <v>12</v>
      </c>
      <c r="G23" s="6">
        <v>46090</v>
      </c>
      <c r="H23" s="1" t="s">
        <v>13</v>
      </c>
      <c r="I23" s="6">
        <f>Table1[[#This Row],[Date Applied]]+14</f>
        <v>46104</v>
      </c>
      <c r="J23" s="1" t="s">
        <v>48</v>
      </c>
      <c r="K23" t="s">
        <v>49</v>
      </c>
      <c r="L23" t="s">
        <v>50</v>
      </c>
      <c r="M23" t="s">
        <v>51</v>
      </c>
    </row>
    <row r="24" spans="1:13" x14ac:dyDescent="0.35">
      <c r="B24" s="1">
        <v>7</v>
      </c>
      <c r="C24" t="s">
        <v>52</v>
      </c>
      <c r="D24" t="s">
        <v>53</v>
      </c>
      <c r="E24" t="s">
        <v>54</v>
      </c>
      <c r="F24" s="5" t="s">
        <v>12</v>
      </c>
      <c r="G24" s="6">
        <v>46112</v>
      </c>
      <c r="H24" s="1" t="s">
        <v>13</v>
      </c>
      <c r="I24" s="6">
        <f>Table1[[#This Row],[Date Applied]]+14</f>
        <v>46126</v>
      </c>
      <c r="J24" s="1" t="s">
        <v>14</v>
      </c>
      <c r="K24" t="s">
        <v>55</v>
      </c>
      <c r="L24" t="s">
        <v>56</v>
      </c>
      <c r="M24" t="s">
        <v>57</v>
      </c>
    </row>
    <row r="25" spans="1:13" x14ac:dyDescent="0.35">
      <c r="B25" s="1">
        <v>8</v>
      </c>
      <c r="C25" t="s">
        <v>58</v>
      </c>
      <c r="D25" t="s">
        <v>59</v>
      </c>
      <c r="E25" t="s">
        <v>60</v>
      </c>
      <c r="F25" s="5" t="s">
        <v>12</v>
      </c>
      <c r="G25" s="6">
        <v>46105</v>
      </c>
      <c r="H25" s="1" t="s">
        <v>13</v>
      </c>
      <c r="I25" s="6">
        <f>Table1[[#This Row],[Date Applied]]+14</f>
        <v>46119</v>
      </c>
      <c r="J25" s="1" t="s">
        <v>14</v>
      </c>
      <c r="K25" t="s">
        <v>61</v>
      </c>
      <c r="L25" t="s">
        <v>62</v>
      </c>
      <c r="M25" t="s">
        <v>63</v>
      </c>
    </row>
    <row r="26" spans="1:13" x14ac:dyDescent="0.35">
      <c r="B26" s="1">
        <v>9</v>
      </c>
      <c r="C26" t="s">
        <v>64</v>
      </c>
      <c r="D26" t="s">
        <v>65</v>
      </c>
      <c r="E26" t="s">
        <v>66</v>
      </c>
      <c r="F26" s="5" t="s">
        <v>67</v>
      </c>
      <c r="G26" s="6">
        <v>46098</v>
      </c>
      <c r="H26" s="1" t="s">
        <v>34</v>
      </c>
      <c r="I26" s="6">
        <f>Table1[[#This Row],[Date Applied]]+14</f>
        <v>46112</v>
      </c>
      <c r="J26" s="1" t="s">
        <v>68</v>
      </c>
      <c r="K26" t="s">
        <v>14</v>
      </c>
      <c r="L26" t="s">
        <v>69</v>
      </c>
      <c r="M26" t="s">
        <v>70</v>
      </c>
    </row>
    <row r="27" spans="1:13" x14ac:dyDescent="0.35">
      <c r="B27" s="1">
        <v>10</v>
      </c>
      <c r="C27" t="s">
        <v>71</v>
      </c>
      <c r="D27" t="s">
        <v>72</v>
      </c>
      <c r="E27" t="s">
        <v>73</v>
      </c>
      <c r="F27" s="5" t="s">
        <v>67</v>
      </c>
      <c r="G27" s="6">
        <v>46100</v>
      </c>
      <c r="H27" s="1" t="s">
        <v>13</v>
      </c>
      <c r="I27" s="6">
        <f>Table1[[#This Row],[Date Applied]]+14</f>
        <v>46114</v>
      </c>
      <c r="J27" s="1" t="s">
        <v>74</v>
      </c>
      <c r="K27" t="s">
        <v>14</v>
      </c>
      <c r="L27" t="s">
        <v>75</v>
      </c>
      <c r="M27" t="s">
        <v>76</v>
      </c>
    </row>
    <row r="28" spans="1:13" x14ac:dyDescent="0.35">
      <c r="B28" s="1">
        <v>11</v>
      </c>
      <c r="C28" t="s">
        <v>77</v>
      </c>
      <c r="D28" t="s">
        <v>78</v>
      </c>
      <c r="E28" t="s">
        <v>79</v>
      </c>
      <c r="F28" s="5" t="s">
        <v>12</v>
      </c>
      <c r="G28" s="6">
        <v>46087</v>
      </c>
      <c r="H28" s="1" t="s">
        <v>13</v>
      </c>
      <c r="I28" s="6">
        <f>Table1[[#This Row],[Date Applied]]+14</f>
        <v>46101</v>
      </c>
      <c r="J28" s="1" t="s">
        <v>80</v>
      </c>
      <c r="K28" t="s">
        <v>81</v>
      </c>
      <c r="L28" t="s">
        <v>82</v>
      </c>
      <c r="M28" t="s">
        <v>83</v>
      </c>
    </row>
    <row r="29" spans="1:13" x14ac:dyDescent="0.35">
      <c r="B29" s="1">
        <v>12</v>
      </c>
      <c r="C29" t="s">
        <v>84</v>
      </c>
      <c r="D29" t="s">
        <v>85</v>
      </c>
      <c r="E29" t="s">
        <v>54</v>
      </c>
      <c r="F29" s="5" t="s">
        <v>12</v>
      </c>
      <c r="G29" s="6">
        <v>46109</v>
      </c>
      <c r="H29" s="1" t="s">
        <v>34</v>
      </c>
      <c r="I29" s="6">
        <f>Table1[[#This Row],[Date Applied]]+14</f>
        <v>46123</v>
      </c>
      <c r="J29" s="1" t="s">
        <v>86</v>
      </c>
      <c r="K29" t="s">
        <v>87</v>
      </c>
      <c r="L29" t="s">
        <v>88</v>
      </c>
      <c r="M29" t="s">
        <v>89</v>
      </c>
    </row>
    <row r="30" spans="1:13" x14ac:dyDescent="0.35">
      <c r="B30" s="1">
        <v>13</v>
      </c>
      <c r="C30" t="s">
        <v>90</v>
      </c>
      <c r="D30" t="s">
        <v>91</v>
      </c>
      <c r="E30" t="s">
        <v>92</v>
      </c>
      <c r="F30" s="5" t="s">
        <v>67</v>
      </c>
      <c r="G30" s="6">
        <v>46093</v>
      </c>
      <c r="H30" s="1" t="s">
        <v>20</v>
      </c>
      <c r="I30" s="6">
        <f>Table1[[#This Row],[Date Applied]]+14</f>
        <v>46107</v>
      </c>
      <c r="J30" s="1" t="s">
        <v>14</v>
      </c>
      <c r="K30" t="s">
        <v>93</v>
      </c>
      <c r="L30" t="s">
        <v>94</v>
      </c>
      <c r="M30" t="s">
        <v>95</v>
      </c>
    </row>
    <row r="31" spans="1:13" x14ac:dyDescent="0.35">
      <c r="B31" s="1">
        <v>14</v>
      </c>
      <c r="C31" t="s">
        <v>96</v>
      </c>
      <c r="D31" t="s">
        <v>97</v>
      </c>
      <c r="E31" t="s">
        <v>26</v>
      </c>
      <c r="F31" s="5" t="s">
        <v>26</v>
      </c>
      <c r="G31" s="6">
        <v>46106</v>
      </c>
      <c r="H31" s="1" t="s">
        <v>20</v>
      </c>
      <c r="I31" s="6">
        <f>Table1[[#This Row],[Date Applied]]+14</f>
        <v>46120</v>
      </c>
      <c r="J31" s="1" t="s">
        <v>98</v>
      </c>
      <c r="K31" t="s">
        <v>99</v>
      </c>
      <c r="L31" t="s">
        <v>100</v>
      </c>
      <c r="M31" t="s">
        <v>101</v>
      </c>
    </row>
    <row r="32" spans="1:13" x14ac:dyDescent="0.35">
      <c r="B32" s="1">
        <v>15</v>
      </c>
      <c r="C32" t="s">
        <v>102</v>
      </c>
      <c r="D32" t="s">
        <v>103</v>
      </c>
      <c r="E32" t="s">
        <v>26</v>
      </c>
      <c r="F32" s="5" t="s">
        <v>26</v>
      </c>
      <c r="G32" s="6">
        <v>46097</v>
      </c>
      <c r="H32" s="1" t="s">
        <v>27</v>
      </c>
      <c r="I32" s="6">
        <f>Table1[[#This Row],[Date Applied]]+14</f>
        <v>46111</v>
      </c>
      <c r="J32" s="1" t="s">
        <v>104</v>
      </c>
      <c r="K32" t="s">
        <v>105</v>
      </c>
      <c r="L32" t="s">
        <v>106</v>
      </c>
      <c r="M32" t="s">
        <v>107</v>
      </c>
    </row>
    <row r="33" spans="2:13" x14ac:dyDescent="0.35">
      <c r="B33" s="1">
        <v>16</v>
      </c>
      <c r="C33" t="s">
        <v>108</v>
      </c>
      <c r="D33" t="s">
        <v>109</v>
      </c>
      <c r="E33" t="s">
        <v>54</v>
      </c>
      <c r="F33" s="5" t="s">
        <v>110</v>
      </c>
      <c r="G33" s="6">
        <v>46111</v>
      </c>
      <c r="H33" s="1" t="s">
        <v>20</v>
      </c>
      <c r="I33" s="6">
        <f>Table1[[#This Row],[Date Applied]]+14</f>
        <v>46125</v>
      </c>
      <c r="J33" s="1" t="s">
        <v>111</v>
      </c>
      <c r="K33" t="s">
        <v>112</v>
      </c>
      <c r="L33" t="s">
        <v>113</v>
      </c>
      <c r="M33" t="s">
        <v>114</v>
      </c>
    </row>
    <row r="34" spans="2:13" x14ac:dyDescent="0.35">
      <c r="B34" s="1">
        <v>17</v>
      </c>
      <c r="C34" t="s">
        <v>115</v>
      </c>
      <c r="D34" t="s">
        <v>59</v>
      </c>
      <c r="E34" t="s">
        <v>60</v>
      </c>
      <c r="F34" s="5" t="s">
        <v>12</v>
      </c>
      <c r="G34" s="6">
        <v>46089</v>
      </c>
      <c r="H34" s="1" t="s">
        <v>27</v>
      </c>
      <c r="I34" s="6">
        <f>Table1[[#This Row],[Date Applied]]+14</f>
        <v>46103</v>
      </c>
      <c r="J34" s="1" t="s">
        <v>116</v>
      </c>
      <c r="K34" t="s">
        <v>117</v>
      </c>
      <c r="L34" t="s">
        <v>118</v>
      </c>
      <c r="M34" t="s">
        <v>119</v>
      </c>
    </row>
    <row r="35" spans="2:13" x14ac:dyDescent="0.35">
      <c r="B35" s="1">
        <v>18</v>
      </c>
      <c r="C35" t="s">
        <v>120</v>
      </c>
      <c r="D35" t="s">
        <v>121</v>
      </c>
      <c r="E35" t="s">
        <v>122</v>
      </c>
      <c r="F35" s="5" t="s">
        <v>12</v>
      </c>
      <c r="G35" s="6">
        <v>46102</v>
      </c>
      <c r="H35" s="1" t="s">
        <v>123</v>
      </c>
      <c r="I35" s="6">
        <f>Table1[[#This Row],[Date Applied]]+14</f>
        <v>46116</v>
      </c>
      <c r="J35" s="1" t="s">
        <v>124</v>
      </c>
      <c r="K35" t="s">
        <v>125</v>
      </c>
      <c r="L35" t="s">
        <v>126</v>
      </c>
      <c r="M35" t="s">
        <v>127</v>
      </c>
    </row>
    <row r="36" spans="2:13" x14ac:dyDescent="0.35">
      <c r="B36" s="1">
        <v>19</v>
      </c>
      <c r="C36" t="s">
        <v>128</v>
      </c>
      <c r="D36" t="s">
        <v>129</v>
      </c>
      <c r="E36" t="s">
        <v>26</v>
      </c>
      <c r="F36" s="5" t="s">
        <v>26</v>
      </c>
      <c r="G36" s="6">
        <v>46107</v>
      </c>
      <c r="H36" s="1" t="s">
        <v>123</v>
      </c>
      <c r="I36" s="6">
        <f>Table1[[#This Row],[Date Applied]]+14</f>
        <v>46121</v>
      </c>
      <c r="J36" s="1" t="s">
        <v>14</v>
      </c>
      <c r="K36" t="s">
        <v>130</v>
      </c>
      <c r="L36" t="s">
        <v>131</v>
      </c>
      <c r="M36" t="s">
        <v>132</v>
      </c>
    </row>
    <row r="37" spans="2:13" x14ac:dyDescent="0.35">
      <c r="B37" s="1">
        <v>20</v>
      </c>
      <c r="C37" t="s">
        <v>133</v>
      </c>
      <c r="D37" t="s">
        <v>134</v>
      </c>
      <c r="E37" t="s">
        <v>135</v>
      </c>
      <c r="F37" s="5" t="s">
        <v>12</v>
      </c>
      <c r="G37" s="6">
        <v>46104</v>
      </c>
      <c r="H37" s="1" t="s">
        <v>123</v>
      </c>
      <c r="I37" s="6">
        <f>Table1[[#This Row],[Date Applied]]+14</f>
        <v>46118</v>
      </c>
      <c r="J37" s="1" t="s">
        <v>136</v>
      </c>
      <c r="K37" t="s">
        <v>137</v>
      </c>
      <c r="L37" t="s">
        <v>138</v>
      </c>
      <c r="M37" t="s">
        <v>139</v>
      </c>
    </row>
    <row r="38" spans="2:13" x14ac:dyDescent="0.35">
      <c r="B38" s="1">
        <v>21</v>
      </c>
      <c r="C38" t="s">
        <v>140</v>
      </c>
      <c r="D38" t="s">
        <v>141</v>
      </c>
      <c r="E38" t="s">
        <v>60</v>
      </c>
      <c r="F38" s="5" t="s">
        <v>12</v>
      </c>
      <c r="G38" s="6">
        <v>46096</v>
      </c>
      <c r="H38" s="1" t="s">
        <v>123</v>
      </c>
      <c r="I38" s="6">
        <f>Table1[[#This Row],[Date Applied]]+14</f>
        <v>46110</v>
      </c>
      <c r="J38" s="1" t="s">
        <v>142</v>
      </c>
      <c r="K38" t="s">
        <v>143</v>
      </c>
      <c r="L38" t="s">
        <v>144</v>
      </c>
      <c r="M38" t="s">
        <v>145</v>
      </c>
    </row>
    <row r="39" spans="2:13" x14ac:dyDescent="0.35">
      <c r="B39" s="1">
        <v>22</v>
      </c>
      <c r="C39" t="s">
        <v>146</v>
      </c>
      <c r="D39" t="s">
        <v>147</v>
      </c>
      <c r="E39" t="s">
        <v>54</v>
      </c>
      <c r="F39" s="5" t="s">
        <v>12</v>
      </c>
      <c r="G39" s="6">
        <v>46099</v>
      </c>
      <c r="H39" s="1" t="s">
        <v>123</v>
      </c>
      <c r="I39" s="6">
        <f>Table1[[#This Row],[Date Applied]]+14</f>
        <v>46113</v>
      </c>
      <c r="J39" s="1" t="s">
        <v>14</v>
      </c>
      <c r="K39" t="s">
        <v>148</v>
      </c>
      <c r="L39" t="s">
        <v>149</v>
      </c>
      <c r="M39" t="s">
        <v>150</v>
      </c>
    </row>
    <row r="40" spans="2:13" x14ac:dyDescent="0.35">
      <c r="B40" s="1">
        <v>23</v>
      </c>
      <c r="C40" t="s">
        <v>151</v>
      </c>
      <c r="D40" t="s">
        <v>152</v>
      </c>
      <c r="E40" t="s">
        <v>26</v>
      </c>
      <c r="F40" s="5" t="s">
        <v>26</v>
      </c>
      <c r="G40" s="6">
        <v>46110</v>
      </c>
      <c r="H40" s="1" t="s">
        <v>123</v>
      </c>
      <c r="I40" s="6">
        <f>Table1[[#This Row],[Date Applied]]+14</f>
        <v>46124</v>
      </c>
      <c r="J40" s="1" t="s">
        <v>153</v>
      </c>
      <c r="K40" t="s">
        <v>154</v>
      </c>
      <c r="L40" t="s">
        <v>155</v>
      </c>
      <c r="M40" t="s">
        <v>156</v>
      </c>
    </row>
    <row r="41" spans="2:13" s="11" customFormat="1" x14ac:dyDescent="0.35">
      <c r="B41" s="12">
        <v>24</v>
      </c>
      <c r="C41" s="11" t="s">
        <v>157</v>
      </c>
      <c r="D41" s="11" t="s">
        <v>59</v>
      </c>
      <c r="E41" s="11" t="s">
        <v>54</v>
      </c>
      <c r="F41" s="13" t="s">
        <v>12</v>
      </c>
      <c r="G41" s="14">
        <v>46103</v>
      </c>
      <c r="H41" s="12" t="s">
        <v>123</v>
      </c>
      <c r="I41" s="14">
        <f>Table1[[#This Row],[Date Applied]]+14</f>
        <v>46117</v>
      </c>
      <c r="J41" s="12" t="s">
        <v>158</v>
      </c>
      <c r="K41" s="11" t="s">
        <v>87</v>
      </c>
      <c r="L41" s="11" t="s">
        <v>159</v>
      </c>
      <c r="M41" s="11" t="s">
        <v>160</v>
      </c>
    </row>
    <row r="42" spans="2:13" x14ac:dyDescent="0.35">
      <c r="B42" s="1"/>
      <c r="F42" s="5"/>
      <c r="G42" s="6"/>
      <c r="I42" s="6"/>
      <c r="J42" s="1"/>
    </row>
  </sheetData>
  <conditionalFormatting sqref="H17:H42">
    <cfRule type="cellIs" dxfId="1" priority="1" operator="equal">
      <formula>"Rejected"</formula>
    </cfRule>
    <cfRule type="cellIs" dxfId="0" priority="2" operator="equal">
      <formula>"Offer"</formula>
    </cfRule>
  </conditionalFormatting>
  <dataValidations count="1">
    <dataValidation type="list" allowBlank="1" showInputMessage="1" showErrorMessage="1" sqref="H18:H42" xr:uid="{C1369633-A585-4814-B1A9-B4427288CD3D}">
      <formula1>$Q$3:$Q$7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2026-05-16T09:11:29Z</dcterms:created>
  <dcterms:modified xsi:type="dcterms:W3CDTF">2026-05-16T11:36:59Z</dcterms:modified>
</cp:coreProperties>
</file>